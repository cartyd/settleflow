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ykirkman/Desktop/"/>
    </mc:Choice>
  </mc:AlternateContent>
  <xr:revisionPtr revIDLastSave="0" documentId="8_{8304CC76-C1F1-A444-A265-285E68912C3A}" xr6:coauthVersionLast="47" xr6:coauthVersionMax="47" xr10:uidLastSave="{00000000-0000-0000-0000-000000000000}"/>
  <bookViews>
    <workbookView xWindow="11980" yWindow="5180" windowWidth="27640" windowHeight="16940" xr2:uid="{7494F013-23F0-E848-97DF-03B639ED859D}"/>
  </bookViews>
  <sheets>
    <sheet name="Trip # 1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28" i="1"/>
  <c r="B47" i="1" s="1"/>
  <c r="E19" i="1"/>
  <c r="E18" i="1"/>
  <c r="E17" i="1"/>
  <c r="E14" i="1"/>
  <c r="E15" i="1" s="1"/>
  <c r="E21" i="1" s="1"/>
  <c r="E13" i="1"/>
  <c r="E12" i="1"/>
  <c r="H7" i="1"/>
  <c r="H9" i="1" s="1"/>
  <c r="H6" i="1"/>
  <c r="E23" i="1" l="1"/>
  <c r="B49" i="1" s="1"/>
</calcChain>
</file>

<file path=xl/sharedStrings.xml><?xml version="1.0" encoding="utf-8"?>
<sst xmlns="http://schemas.openxmlformats.org/spreadsheetml/2006/main" count="54" uniqueCount="47">
  <si>
    <t>Doug Hess</t>
  </si>
  <si>
    <t>Driver # 112 021</t>
  </si>
  <si>
    <t>Trip # 125 (NVL Trip # 1784)</t>
  </si>
  <si>
    <t>Shipper:</t>
  </si>
  <si>
    <t>Origin</t>
  </si>
  <si>
    <t>Destination</t>
  </si>
  <si>
    <t>Bill of Lading #</t>
  </si>
  <si>
    <t>Delivery Date</t>
  </si>
  <si>
    <t>Weight</t>
  </si>
  <si>
    <t>Linehaul</t>
  </si>
  <si>
    <t>Driver's 55%</t>
  </si>
  <si>
    <t>TALVO</t>
  </si>
  <si>
    <t>EL CAJON, CA</t>
  </si>
  <si>
    <t>TEMPLE HILL, DM</t>
  </si>
  <si>
    <t>STEBBINS</t>
  </si>
  <si>
    <t>SAN DIEGO, CA</t>
  </si>
  <si>
    <t>JACKSONCILLE, NC</t>
  </si>
  <si>
    <t>Total Linehaul:</t>
  </si>
  <si>
    <t>Accessorials:</t>
  </si>
  <si>
    <t>ATC Origin</t>
  </si>
  <si>
    <t>Fuel</t>
  </si>
  <si>
    <t>ATC Destination</t>
  </si>
  <si>
    <t>Total &gt;&gt;&gt;</t>
  </si>
  <si>
    <t>Driver  Retained Accessorials</t>
  </si>
  <si>
    <t>Total Retained by Driver (accessorials + linehaul):</t>
  </si>
  <si>
    <t>Trip # 125 - Chargeback/Debit Details</t>
  </si>
  <si>
    <t>Fuel/Mile Tax for 06/2023</t>
  </si>
  <si>
    <t>Tolls reimbursement for trip 1783</t>
  </si>
  <si>
    <t>Motor Vehicle Report</t>
  </si>
  <si>
    <t>Comdata Advance: PT # 578668</t>
  </si>
  <si>
    <t>Davey's Heavy Equipment Repair (NOx sensor)</t>
  </si>
  <si>
    <t>Comdata Advance: PT # 578703</t>
  </si>
  <si>
    <t>Comdata Advance: PT # 578730</t>
  </si>
  <si>
    <t>Barrios Repair (replaced blower motor)</t>
  </si>
  <si>
    <t>Comdata Advance: PT # 578752</t>
  </si>
  <si>
    <t>Comdata Advance: PT # 578768</t>
  </si>
  <si>
    <t>Comdata Advance: PT # 578803</t>
  </si>
  <si>
    <t>Comcheck: comdata ref no. 5478778</t>
  </si>
  <si>
    <t>Transguard: work comp &amp; non-trucking (June - Aug)</t>
  </si>
  <si>
    <t>Comcheck: comdata ref no. 5478932</t>
  </si>
  <si>
    <t>Comdata Advance: PT # 578872</t>
  </si>
  <si>
    <t>Comdata Advance: PT # 578890</t>
  </si>
  <si>
    <t>Comdata Advance: PT # 578913</t>
  </si>
  <si>
    <t>Comdata Advance: PT # 578934</t>
  </si>
  <si>
    <t>Comdata Advance: PT # 578993</t>
  </si>
  <si>
    <t>Total Debits/Credits:</t>
  </si>
  <si>
    <t>Grand Total Trip # 125 &gt;&gt;&gt;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</si>
</sst>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/>
    <xf numFmtId="44" fontId="3" fillId="0" borderId="0" xfId="2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1" fontId="3" fillId="0" borderId="0" xfId="1" applyNumberFormat="1" applyFont="1" applyAlignment="1">
      <alignment horizontal="center" vertical="center"/>
    </xf>
    <xf numFmtId="44" fontId="5" fillId="0" borderId="0" xfId="2" applyFont="1" applyAlignment="1">
      <alignment vertical="center" wrapText="1"/>
    </xf>
    <xf numFmtId="44" fontId="5" fillId="0" borderId="5" xfId="2" applyFont="1" applyBorder="1" applyAlignment="1">
      <alignment vertical="center" wrapText="1"/>
    </xf>
    <xf numFmtId="0" fontId="6" fillId="0" borderId="0" xfId="0" applyFont="1"/>
    <xf numFmtId="0" fontId="4" fillId="0" borderId="6" xfId="0" applyFont="1" applyBorder="1"/>
    <xf numFmtId="0" fontId="3" fillId="0" borderId="7" xfId="0" applyFont="1" applyBorder="1"/>
    <xf numFmtId="0" fontId="4" fillId="0" borderId="7" xfId="0" applyFont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44" fontId="4" fillId="2" borderId="8" xfId="0" applyNumberFormat="1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9" fontId="3" fillId="0" borderId="0" xfId="3" applyFont="1" applyBorder="1"/>
    <xf numFmtId="44" fontId="3" fillId="0" borderId="0" xfId="2" applyFont="1" applyBorder="1" applyAlignment="1">
      <alignment vertical="center"/>
    </xf>
    <xf numFmtId="44" fontId="3" fillId="0" borderId="5" xfId="2" applyFont="1" applyBorder="1" applyAlignment="1">
      <alignment vertical="center"/>
    </xf>
    <xf numFmtId="44" fontId="3" fillId="0" borderId="0" xfId="2" applyFont="1"/>
    <xf numFmtId="0" fontId="3" fillId="0" borderId="0" xfId="0" applyFont="1" applyAlignment="1">
      <alignment horizontal="right"/>
    </xf>
    <xf numFmtId="44" fontId="3" fillId="3" borderId="5" xfId="2" applyFont="1" applyFill="1" applyBorder="1" applyAlignment="1">
      <alignment vertical="center"/>
    </xf>
    <xf numFmtId="9" fontId="7" fillId="0" borderId="0" xfId="0" applyNumberFormat="1" applyFont="1"/>
    <xf numFmtId="44" fontId="3" fillId="0" borderId="5" xfId="2" applyFont="1" applyFill="1" applyBorder="1" applyAlignment="1">
      <alignment vertical="center"/>
    </xf>
    <xf numFmtId="0" fontId="4" fillId="2" borderId="0" xfId="0" applyFont="1" applyFill="1" applyAlignment="1">
      <alignment horizontal="right"/>
    </xf>
    <xf numFmtId="44" fontId="4" fillId="2" borderId="5" xfId="0" applyNumberFormat="1" applyFont="1" applyFill="1" applyBorder="1"/>
    <xf numFmtId="0" fontId="3" fillId="0" borderId="6" xfId="0" applyFont="1" applyBorder="1"/>
    <xf numFmtId="0" fontId="4" fillId="4" borderId="7" xfId="0" applyFont="1" applyFill="1" applyBorder="1" applyAlignment="1">
      <alignment horizontal="left"/>
    </xf>
    <xf numFmtId="44" fontId="4" fillId="4" borderId="8" xfId="0" applyNumberFormat="1" applyFont="1" applyFill="1" applyBorder="1"/>
    <xf numFmtId="44" fontId="4" fillId="0" borderId="0" xfId="2" applyFont="1" applyBorder="1"/>
    <xf numFmtId="0" fontId="4" fillId="0" borderId="0" xfId="0" applyFont="1" applyAlignment="1">
      <alignment vertical="center"/>
    </xf>
    <xf numFmtId="164" fontId="3" fillId="0" borderId="4" xfId="0" applyNumberFormat="1" applyFont="1" applyBorder="1"/>
    <xf numFmtId="44" fontId="5" fillId="0" borderId="0" xfId="2" applyFont="1" applyBorder="1" applyAlignment="1">
      <alignment horizontal="right" vertical="top"/>
    </xf>
    <xf numFmtId="0" fontId="5" fillId="0" borderId="0" xfId="2" applyNumberFormat="1" applyFont="1" applyBorder="1" applyAlignment="1">
      <alignment horizontal="left" vertical="top"/>
    </xf>
    <xf numFmtId="16" fontId="5" fillId="0" borderId="5" xfId="0" applyNumberFormat="1" applyFont="1" applyBorder="1"/>
    <xf numFmtId="0" fontId="5" fillId="0" borderId="0" xfId="0" applyFont="1"/>
    <xf numFmtId="0" fontId="5" fillId="0" borderId="0" xfId="2" applyNumberFormat="1" applyFont="1" applyFill="1" applyBorder="1" applyAlignment="1">
      <alignment horizontal="left" vertical="top"/>
    </xf>
    <xf numFmtId="0" fontId="4" fillId="0" borderId="6" xfId="0" applyFont="1" applyBorder="1" applyAlignment="1">
      <alignment horizontal="right" wrapText="1"/>
    </xf>
    <xf numFmtId="44" fontId="4" fillId="0" borderId="7" xfId="2" applyFont="1" applyBorder="1"/>
    <xf numFmtId="0" fontId="7" fillId="0" borderId="7" xfId="0" applyFont="1" applyBorder="1"/>
    <xf numFmtId="0" fontId="4" fillId="0" borderId="8" xfId="0" applyFont="1" applyBorder="1"/>
    <xf numFmtId="44" fontId="4" fillId="0" borderId="0" xfId="2" applyFont="1"/>
    <xf numFmtId="0" fontId="4" fillId="4" borderId="0" xfId="0" applyFont="1" applyFill="1"/>
    <xf numFmtId="44" fontId="4" fillId="4" borderId="0" xfId="0" applyNumberFormat="1" applyFont="1" applyFill="1"/>
    <xf numFmtId="44" fontId="3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3C00-94FE-2F4B-97C3-A81BD72A436F}">
  <dimension ref="A1:K50"/>
  <sheetViews>
    <sheetView showGridLines="0" tabSelected="1" topLeftCell="A20" zoomScale="130" zoomScaleNormal="130" workbookViewId="0">
      <selection activeCell="H46" sqref="H46"/>
    </sheetView>
  </sheetViews>
  <sheetFormatPr baseColWidth="10" defaultColWidth="9.1640625" defaultRowHeight="14" x14ac:dyDescent="0.2"/>
  <cols>
    <col min="1" max="1" width="23.33203125" style="2" customWidth="1"/>
    <col min="2" max="2" width="17.5" style="2" customWidth="1"/>
    <col min="3" max="4" width="20" style="2" customWidth="1"/>
    <col min="5" max="5" width="10.5" style="2" customWidth="1"/>
    <col min="6" max="6" width="6.6640625" style="2" bestFit="1" customWidth="1"/>
    <col min="7" max="7" width="11" style="2" bestFit="1" customWidth="1"/>
    <col min="8" max="8" width="9.83203125" style="2" bestFit="1" customWidth="1"/>
    <col min="9" max="9" width="7.83203125" style="2" customWidth="1"/>
    <col min="10" max="10" width="9.1640625" style="2"/>
    <col min="11" max="11" width="14.6640625" style="2" customWidth="1"/>
    <col min="12" max="16384" width="9.1640625" style="2"/>
  </cols>
  <sheetData>
    <row r="1" spans="1:11" ht="18.7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1" x14ac:dyDescent="0.2">
      <c r="A2" s="3" t="s">
        <v>1</v>
      </c>
      <c r="B2" s="3"/>
      <c r="C2" s="3"/>
      <c r="D2" s="3"/>
      <c r="E2" s="3"/>
      <c r="F2" s="3"/>
      <c r="G2" s="3"/>
      <c r="H2" s="3"/>
    </row>
    <row r="3" spans="1:11" ht="14" customHeight="1" x14ac:dyDescent="0.2">
      <c r="A3" s="4" t="s">
        <v>2</v>
      </c>
      <c r="B3" s="5"/>
      <c r="C3" s="5"/>
      <c r="D3" s="5"/>
      <c r="E3" s="5"/>
      <c r="F3" s="5"/>
      <c r="G3" s="5"/>
      <c r="H3" s="6"/>
    </row>
    <row r="4" spans="1:11" ht="3" customHeight="1" x14ac:dyDescent="0.2">
      <c r="A4" s="7"/>
      <c r="H4" s="8"/>
    </row>
    <row r="5" spans="1:11" s="13" customFormat="1" ht="16.5" customHeight="1" x14ac:dyDescent="0.2">
      <c r="A5" s="9" t="s">
        <v>3</v>
      </c>
      <c r="B5" s="10" t="s">
        <v>4</v>
      </c>
      <c r="C5" s="10" t="s">
        <v>5</v>
      </c>
      <c r="D5" s="10" t="s">
        <v>6</v>
      </c>
      <c r="E5" s="10" t="s">
        <v>7</v>
      </c>
      <c r="F5" s="10" t="s">
        <v>8</v>
      </c>
      <c r="G5" s="11" t="s">
        <v>9</v>
      </c>
      <c r="H5" s="12" t="s">
        <v>10</v>
      </c>
      <c r="K5" s="14"/>
    </row>
    <row r="6" spans="1:11" s="13" customFormat="1" ht="16.5" customHeight="1" x14ac:dyDescent="0.2">
      <c r="A6" s="15" t="s">
        <v>11</v>
      </c>
      <c r="B6" s="16" t="s">
        <v>12</v>
      </c>
      <c r="C6" s="16" t="s">
        <v>13</v>
      </c>
      <c r="D6" s="17">
        <v>651039</v>
      </c>
      <c r="E6" s="18">
        <v>45149</v>
      </c>
      <c r="F6" s="19">
        <v>10100</v>
      </c>
      <c r="G6" s="20">
        <v>16285.55</v>
      </c>
      <c r="H6" s="21">
        <f>G6*55%</f>
        <v>8957.0524999999998</v>
      </c>
      <c r="I6" s="22"/>
      <c r="K6" s="14"/>
    </row>
    <row r="7" spans="1:11" s="13" customFormat="1" ht="16.5" customHeight="1" x14ac:dyDescent="0.2">
      <c r="A7" s="15" t="s">
        <v>14</v>
      </c>
      <c r="B7" s="16" t="s">
        <v>15</v>
      </c>
      <c r="C7" s="16" t="s">
        <v>16</v>
      </c>
      <c r="D7" s="17">
        <v>651038</v>
      </c>
      <c r="E7" s="18">
        <v>45145</v>
      </c>
      <c r="F7" s="19">
        <v>10140</v>
      </c>
      <c r="G7" s="20">
        <v>17568.21</v>
      </c>
      <c r="H7" s="21">
        <f>G7*55%</f>
        <v>9662.5154999999995</v>
      </c>
      <c r="I7" s="22"/>
      <c r="K7" s="14"/>
    </row>
    <row r="8" spans="1:11" s="13" customFormat="1" ht="12" customHeight="1" x14ac:dyDescent="0.2">
      <c r="A8" s="15"/>
      <c r="B8" s="16"/>
      <c r="C8" s="17"/>
      <c r="D8" s="17"/>
      <c r="E8" s="18"/>
      <c r="F8" s="19"/>
      <c r="G8" s="20"/>
      <c r="H8" s="21"/>
      <c r="K8" s="14"/>
    </row>
    <row r="9" spans="1:11" x14ac:dyDescent="0.2">
      <c r="A9" s="23"/>
      <c r="B9" s="24"/>
      <c r="C9" s="24"/>
      <c r="D9" s="25"/>
      <c r="E9" s="24"/>
      <c r="F9" s="24"/>
      <c r="G9" s="26" t="s">
        <v>17</v>
      </c>
      <c r="H9" s="27">
        <f>SUM(H6:H7)</f>
        <v>18619.567999999999</v>
      </c>
      <c r="I9" s="28"/>
    </row>
    <row r="10" spans="1:11" ht="4" customHeight="1" x14ac:dyDescent="0.2"/>
    <row r="11" spans="1:11" ht="18" customHeight="1" x14ac:dyDescent="0.2">
      <c r="A11" s="29" t="s">
        <v>18</v>
      </c>
      <c r="B11" s="30"/>
      <c r="C11" s="30"/>
      <c r="D11" s="30"/>
      <c r="E11" s="31"/>
      <c r="J11" s="10"/>
      <c r="K11" s="10"/>
    </row>
    <row r="12" spans="1:11" ht="12.75" customHeight="1" x14ac:dyDescent="0.2">
      <c r="A12" s="32" t="s">
        <v>11</v>
      </c>
      <c r="B12" s="2" t="s">
        <v>19</v>
      </c>
      <c r="C12" s="33">
        <v>0.9</v>
      </c>
      <c r="D12" s="34">
        <v>328.06</v>
      </c>
      <c r="E12" s="35">
        <f t="shared" ref="E12:E14" si="0">D12*C12</f>
        <v>295.25400000000002</v>
      </c>
      <c r="F12" s="36"/>
    </row>
    <row r="13" spans="1:11" ht="12.75" customHeight="1" x14ac:dyDescent="0.2">
      <c r="A13" s="32"/>
      <c r="B13" s="2" t="s">
        <v>20</v>
      </c>
      <c r="C13" s="33">
        <v>1</v>
      </c>
      <c r="D13" s="34">
        <v>1714.27</v>
      </c>
      <c r="E13" s="35">
        <f t="shared" si="0"/>
        <v>1714.27</v>
      </c>
      <c r="F13" s="36"/>
    </row>
    <row r="14" spans="1:11" ht="12.75" customHeight="1" x14ac:dyDescent="0.2">
      <c r="A14" s="32"/>
      <c r="B14" s="2" t="s">
        <v>21</v>
      </c>
      <c r="C14" s="33">
        <v>0.9</v>
      </c>
      <c r="D14" s="34">
        <v>494.68</v>
      </c>
      <c r="E14" s="35">
        <f t="shared" si="0"/>
        <v>445.21199999999999</v>
      </c>
      <c r="F14" s="36"/>
    </row>
    <row r="15" spans="1:11" ht="12" customHeight="1" x14ac:dyDescent="0.2">
      <c r="A15" s="32"/>
      <c r="D15" s="37" t="s">
        <v>22</v>
      </c>
      <c r="E15" s="38">
        <f>SUM(E12:E14)</f>
        <v>2454.7359999999999</v>
      </c>
      <c r="F15" s="39"/>
    </row>
    <row r="16" spans="1:11" ht="12" customHeight="1" x14ac:dyDescent="0.2">
      <c r="A16" s="15"/>
      <c r="D16" s="37"/>
      <c r="E16" s="40"/>
      <c r="F16" s="39"/>
    </row>
    <row r="17" spans="1:6" ht="12" customHeight="1" x14ac:dyDescent="0.2">
      <c r="A17" s="32" t="s">
        <v>14</v>
      </c>
      <c r="B17" s="2" t="s">
        <v>19</v>
      </c>
      <c r="C17" s="33">
        <v>0.9</v>
      </c>
      <c r="D17" s="34">
        <v>645.16999999999996</v>
      </c>
      <c r="E17" s="35">
        <f t="shared" ref="E17:E18" si="1">D17*C17</f>
        <v>580.65300000000002</v>
      </c>
      <c r="F17" s="39"/>
    </row>
    <row r="18" spans="1:6" ht="12" customHeight="1" x14ac:dyDescent="0.2">
      <c r="A18" s="32"/>
      <c r="B18" s="2" t="s">
        <v>20</v>
      </c>
      <c r="C18" s="33">
        <v>1</v>
      </c>
      <c r="D18" s="34">
        <v>1849.29</v>
      </c>
      <c r="E18" s="35">
        <f t="shared" si="1"/>
        <v>1849.29</v>
      </c>
      <c r="F18" s="39"/>
    </row>
    <row r="19" spans="1:6" ht="12" customHeight="1" x14ac:dyDescent="0.2">
      <c r="A19" s="32"/>
      <c r="D19" s="37" t="s">
        <v>22</v>
      </c>
      <c r="E19" s="38">
        <f>SUM(E17:E18)</f>
        <v>2429.9430000000002</v>
      </c>
      <c r="F19" s="39"/>
    </row>
    <row r="20" spans="1:6" ht="12" customHeight="1" x14ac:dyDescent="0.2">
      <c r="A20" s="15"/>
      <c r="D20" s="37"/>
      <c r="E20" s="40"/>
      <c r="F20" s="39"/>
    </row>
    <row r="21" spans="1:6" ht="15.75" customHeight="1" x14ac:dyDescent="0.2">
      <c r="A21" s="15"/>
      <c r="C21" s="13"/>
      <c r="D21" s="41" t="s">
        <v>23</v>
      </c>
      <c r="E21" s="42">
        <f>E15+E19</f>
        <v>4884.6790000000001</v>
      </c>
    </row>
    <row r="22" spans="1:6" ht="6" customHeight="1" x14ac:dyDescent="0.2">
      <c r="A22" s="7"/>
      <c r="E22" s="8"/>
    </row>
    <row r="23" spans="1:6" x14ac:dyDescent="0.2">
      <c r="A23" s="43"/>
      <c r="B23" s="24"/>
      <c r="C23" s="44" t="s">
        <v>24</v>
      </c>
      <c r="D23" s="44"/>
      <c r="E23" s="45">
        <f>H9+E21</f>
        <v>23504.246999999999</v>
      </c>
    </row>
    <row r="24" spans="1:6" ht="6" customHeight="1" x14ac:dyDescent="0.2">
      <c r="B24" s="13"/>
      <c r="C24" s="13"/>
      <c r="D24" s="13"/>
      <c r="E24" s="46"/>
    </row>
    <row r="25" spans="1:6" ht="11" customHeight="1" x14ac:dyDescent="0.2">
      <c r="A25" s="29" t="s">
        <v>25</v>
      </c>
      <c r="B25" s="30"/>
      <c r="C25" s="30"/>
      <c r="D25" s="31"/>
      <c r="E25" s="47"/>
    </row>
    <row r="26" spans="1:6" ht="13" customHeight="1" x14ac:dyDescent="0.2">
      <c r="A26" s="48">
        <v>45129</v>
      </c>
      <c r="B26" s="49">
        <v>-304.98</v>
      </c>
      <c r="C26" s="50" t="s">
        <v>26</v>
      </c>
      <c r="D26" s="51"/>
      <c r="E26" s="52"/>
    </row>
    <row r="27" spans="1:6" ht="13" customHeight="1" x14ac:dyDescent="0.2">
      <c r="A27" s="48">
        <v>45131</v>
      </c>
      <c r="B27" s="49">
        <v>31</v>
      </c>
      <c r="C27" s="50" t="s">
        <v>27</v>
      </c>
      <c r="D27" s="51"/>
      <c r="E27" s="52"/>
    </row>
    <row r="28" spans="1:6" ht="13" customHeight="1" x14ac:dyDescent="0.2">
      <c r="A28" s="48">
        <v>45131</v>
      </c>
      <c r="B28" s="49">
        <f>4.8/-3</f>
        <v>-1.5999999999999999</v>
      </c>
      <c r="C28" s="50" t="s">
        <v>28</v>
      </c>
      <c r="D28" s="51"/>
      <c r="E28" s="52"/>
    </row>
    <row r="29" spans="1:6" ht="13" customHeight="1" x14ac:dyDescent="0.2">
      <c r="A29" s="48">
        <v>45131</v>
      </c>
      <c r="B29" s="49">
        <v>-1033</v>
      </c>
      <c r="C29" s="50" t="s">
        <v>29</v>
      </c>
      <c r="D29" s="51"/>
      <c r="E29" s="52"/>
    </row>
    <row r="30" spans="1:6" ht="13" customHeight="1" x14ac:dyDescent="0.2">
      <c r="A30" s="48">
        <v>45132</v>
      </c>
      <c r="B30" s="49">
        <v>-1833.37</v>
      </c>
      <c r="C30" s="50" t="s">
        <v>30</v>
      </c>
      <c r="D30" s="51"/>
      <c r="E30" s="52"/>
    </row>
    <row r="31" spans="1:6" ht="13" customHeight="1" x14ac:dyDescent="0.2">
      <c r="A31" s="48">
        <v>45133</v>
      </c>
      <c r="B31" s="49">
        <v>-1548</v>
      </c>
      <c r="C31" s="50" t="s">
        <v>31</v>
      </c>
      <c r="D31" s="51"/>
      <c r="E31" s="52"/>
    </row>
    <row r="32" spans="1:6" ht="13" customHeight="1" x14ac:dyDescent="0.2">
      <c r="A32" s="48">
        <v>45134</v>
      </c>
      <c r="B32" s="49">
        <v>-518</v>
      </c>
      <c r="C32" s="50" t="s">
        <v>32</v>
      </c>
      <c r="D32" s="51"/>
      <c r="E32" s="52"/>
    </row>
    <row r="33" spans="1:5" ht="13" customHeight="1" x14ac:dyDescent="0.2">
      <c r="A33" s="48">
        <v>45134</v>
      </c>
      <c r="B33" s="49">
        <v>-660</v>
      </c>
      <c r="C33" s="53" t="s">
        <v>33</v>
      </c>
      <c r="D33" s="51"/>
      <c r="E33" s="52"/>
    </row>
    <row r="34" spans="1:5" ht="13" customHeight="1" x14ac:dyDescent="0.2">
      <c r="A34" s="48">
        <v>45135</v>
      </c>
      <c r="B34" s="49">
        <v>-1548</v>
      </c>
      <c r="C34" s="50" t="s">
        <v>34</v>
      </c>
      <c r="D34" s="12"/>
      <c r="E34" s="10"/>
    </row>
    <row r="35" spans="1:5" ht="13" customHeight="1" x14ac:dyDescent="0.2">
      <c r="A35" s="48">
        <v>45138</v>
      </c>
      <c r="B35" s="49">
        <v>-518</v>
      </c>
      <c r="C35" s="50" t="s">
        <v>35</v>
      </c>
      <c r="D35" s="51"/>
      <c r="E35" s="52"/>
    </row>
    <row r="36" spans="1:5" ht="13" customHeight="1" x14ac:dyDescent="0.2">
      <c r="A36" s="48">
        <v>45139</v>
      </c>
      <c r="B36" s="49">
        <v>-518</v>
      </c>
      <c r="C36" s="50" t="s">
        <v>36</v>
      </c>
      <c r="D36" s="51"/>
      <c r="E36" s="52"/>
    </row>
    <row r="37" spans="1:5" ht="13" customHeight="1" x14ac:dyDescent="0.2">
      <c r="A37" s="48">
        <v>45139</v>
      </c>
      <c r="B37" s="49">
        <v>-1024.04</v>
      </c>
      <c r="C37" s="50" t="s">
        <v>37</v>
      </c>
      <c r="D37" s="51"/>
      <c r="E37" s="52"/>
    </row>
    <row r="38" spans="1:5" ht="13" customHeight="1" x14ac:dyDescent="0.2">
      <c r="A38" s="48">
        <v>45139</v>
      </c>
      <c r="B38" s="49">
        <v>-2281.37</v>
      </c>
      <c r="C38" s="50" t="s">
        <v>38</v>
      </c>
      <c r="D38" s="51"/>
      <c r="E38" s="52"/>
    </row>
    <row r="39" spans="1:5" ht="13" customHeight="1" x14ac:dyDescent="0.2">
      <c r="A39" s="48">
        <v>45142</v>
      </c>
      <c r="B39" s="49">
        <v>-2339.5500000000002</v>
      </c>
      <c r="C39" s="50" t="s">
        <v>39</v>
      </c>
      <c r="D39" s="51"/>
      <c r="E39" s="52"/>
    </row>
    <row r="40" spans="1:5" ht="13" customHeight="1" x14ac:dyDescent="0.2">
      <c r="A40" s="48">
        <v>45142</v>
      </c>
      <c r="B40" s="49">
        <v>-1033</v>
      </c>
      <c r="C40" s="50" t="s">
        <v>40</v>
      </c>
      <c r="D40" s="51"/>
      <c r="E40" s="52"/>
    </row>
    <row r="41" spans="1:5" ht="13" customHeight="1" x14ac:dyDescent="0.2">
      <c r="A41" s="48">
        <v>45145</v>
      </c>
      <c r="B41" s="49">
        <v>-1033</v>
      </c>
      <c r="C41" s="50" t="s">
        <v>41</v>
      </c>
      <c r="D41" s="51"/>
      <c r="E41" s="52"/>
    </row>
    <row r="42" spans="1:5" ht="13" customHeight="1" x14ac:dyDescent="0.2">
      <c r="A42" s="48">
        <v>45146</v>
      </c>
      <c r="B42" s="49">
        <v>-1136</v>
      </c>
      <c r="C42" s="50" t="s">
        <v>42</v>
      </c>
      <c r="D42" s="51"/>
      <c r="E42" s="52"/>
    </row>
    <row r="43" spans="1:5" ht="13" customHeight="1" x14ac:dyDescent="0.2">
      <c r="A43" s="48">
        <v>45147</v>
      </c>
      <c r="B43" s="49">
        <f>5.1/-3</f>
        <v>-1.7</v>
      </c>
      <c r="C43" s="50" t="s">
        <v>28</v>
      </c>
      <c r="D43" s="51"/>
      <c r="E43" s="52"/>
    </row>
    <row r="44" spans="1:5" ht="13" customHeight="1" x14ac:dyDescent="0.2">
      <c r="A44" s="48">
        <v>45147</v>
      </c>
      <c r="B44" s="49">
        <v>-1239</v>
      </c>
      <c r="C44" s="50" t="s">
        <v>43</v>
      </c>
      <c r="D44" s="51"/>
      <c r="E44" s="52"/>
    </row>
    <row r="45" spans="1:5" ht="13" customHeight="1" x14ac:dyDescent="0.2">
      <c r="A45" s="48">
        <v>45149</v>
      </c>
      <c r="B45" s="49">
        <v>-1136</v>
      </c>
      <c r="C45" s="50" t="s">
        <v>44</v>
      </c>
      <c r="D45" s="51"/>
      <c r="E45" s="52"/>
    </row>
    <row r="46" spans="1:5" ht="13" customHeight="1" x14ac:dyDescent="0.2">
      <c r="A46" s="48">
        <v>45149</v>
      </c>
      <c r="B46" s="49">
        <v>-312</v>
      </c>
      <c r="C46" s="50" t="s">
        <v>44</v>
      </c>
      <c r="D46" s="51"/>
      <c r="E46" s="52"/>
    </row>
    <row r="47" spans="1:5" ht="15" x14ac:dyDescent="0.2">
      <c r="A47" s="54" t="s">
        <v>45</v>
      </c>
      <c r="B47" s="55">
        <f>SUM(B26:B46)</f>
        <v>-19987.61</v>
      </c>
      <c r="C47" s="56"/>
      <c r="D47" s="57"/>
      <c r="E47" s="46"/>
    </row>
    <row r="48" spans="1:5" ht="5" customHeight="1" x14ac:dyDescent="0.2">
      <c r="A48" s="13"/>
      <c r="B48" s="13"/>
      <c r="C48" s="13"/>
      <c r="D48" s="58"/>
      <c r="E48" s="58"/>
    </row>
    <row r="49" spans="1:5" ht="13.5" customHeight="1" x14ac:dyDescent="0.2">
      <c r="A49" s="59" t="s">
        <v>46</v>
      </c>
      <c r="B49" s="60">
        <f>E23+B47</f>
        <v>3516.6369999999988</v>
      </c>
      <c r="C49" s="61"/>
    </row>
    <row r="50" spans="1:5" ht="58" customHeight="1" x14ac:dyDescent="0.2">
      <c r="A50" s="13"/>
      <c r="B50" s="13"/>
      <c r="C50" s="13"/>
      <c r="D50" s="58"/>
      <c r="E50" s="58"/>
    </row>
  </sheetData>
  <mergeCells count="7">
    <mergeCell ref="A25:D25"/>
    <mergeCell ref="A1:H1"/>
    <mergeCell ref="A2:H2"/>
    <mergeCell ref="A3:H3"/>
    <mergeCell ref="A11:E11"/>
    <mergeCell ref="A12:A15"/>
    <mergeCell ref="A17:A19"/>
  </mergeCells>
  <pageMargins left="0.2" right="0.2" top="0.25" bottom="0.25" header="0.3" footer="0.3"/>
  <pageSetup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# 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Kirkman</dc:creator>
  <cp:lastModifiedBy>Kelly Kirkman</cp:lastModifiedBy>
  <dcterms:created xsi:type="dcterms:W3CDTF">2026-01-06T20:08:29Z</dcterms:created>
  <dcterms:modified xsi:type="dcterms:W3CDTF">2026-01-06T20:12:29Z</dcterms:modified>
</cp:coreProperties>
</file>